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filterPrivacy="1" defaultThemeVersion="124226"/>
  <xr:revisionPtr revIDLastSave="0" documentId="13_ncr:1_{5DD7F690-0DF5-C04B-B8FA-B61A831E0DE2}" xr6:coauthVersionLast="47" xr6:coauthVersionMax="47" xr10:uidLastSave="{00000000-0000-0000-0000-000000000000}"/>
  <bookViews>
    <workbookView xWindow="11540" yWindow="2480" windowWidth="38620" windowHeight="21100" activeTab="1" xr2:uid="{00000000-000D-0000-FFFF-FFFF00000000}"/>
  </bookViews>
  <sheets>
    <sheet name="Chart" sheetId="4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l="1"/>
  <c r="D5" i="1"/>
  <c r="D6" i="1"/>
  <c r="D7" i="1"/>
  <c r="D4" i="1"/>
  <c r="A7" i="1" l="1"/>
  <c r="B7" i="1"/>
  <c r="C7" i="1"/>
  <c r="B6" i="1"/>
  <c r="C6" i="1"/>
  <c r="A6" i="1"/>
  <c r="B4" i="1"/>
  <c r="A4" i="1"/>
  <c r="C4" i="1"/>
  <c r="B5" i="1"/>
  <c r="A5" i="1"/>
  <c r="C5" i="1"/>
  <c r="L5" i="1" l="1"/>
  <c r="K5" i="1"/>
  <c r="L7" i="1"/>
  <c r="K7" i="1"/>
  <c r="L6" i="1"/>
  <c r="K6" i="1"/>
  <c r="K4" i="1"/>
  <c r="L4" i="1"/>
</calcChain>
</file>

<file path=xl/sharedStrings.xml><?xml version="1.0" encoding="utf-8"?>
<sst xmlns="http://schemas.openxmlformats.org/spreadsheetml/2006/main" count="11" uniqueCount="11">
  <si>
    <t>ld n</t>
  </si>
  <si>
    <t>n</t>
  </si>
  <si>
    <t>IMUL</t>
  </si>
  <si>
    <t>n ld n</t>
  </si>
  <si>
    <t>n^2</t>
  </si>
  <si>
    <t>TODO: ADD MORE ROWS FOR LARGER SIZES</t>
  </si>
  <si>
    <t>TODO: UPDATE THIS FORMULA WITH THE APPROPRIATE OP COUNT</t>
  </si>
  <si>
    <t>Mop/s</t>
  </si>
  <si>
    <t>Runtime [ms]</t>
  </si>
  <si>
    <t>ECE</t>
  </si>
  <si>
    <t>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</si>
</sst>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ysClr val="windowText" lastClr="000000"/>
                </a:solidFill>
              </a:rPr>
              <a:t>FFT Based</a:t>
            </a:r>
            <a:r>
              <a:rPr lang="en-US" sz="3200" b="1" baseline="0">
                <a:solidFill>
                  <a:sysClr val="windowText" lastClr="000000"/>
                </a:solidFill>
              </a:rPr>
              <a:t> </a:t>
            </a:r>
            <a:r>
              <a:rPr lang="en-US" sz="3200" b="1">
                <a:solidFill>
                  <a:sysClr val="windowText" lastClr="000000"/>
                </a:solidFill>
              </a:rPr>
              <a:t>Long Integer Multiplication </a:t>
            </a:r>
            <a:endParaRPr lang="en-US" sz="2800" b="1">
              <a:solidFill>
                <a:sysClr val="windowText" lastClr="000000"/>
              </a:solidFill>
            </a:endParaRPr>
          </a:p>
          <a:p>
            <a:pPr algn="l">
              <a:defRPr/>
            </a:pPr>
            <a:r>
              <a:rPr lang="en-US" sz="2000" b="1" i="0">
                <a:solidFill>
                  <a:schemeClr val="bg1">
                    <a:lumMod val="50000"/>
                  </a:schemeClr>
                </a:solidFill>
              </a:rPr>
              <a:t>Performance</a:t>
            </a:r>
            <a:r>
              <a:rPr lang="en-US" sz="2000" b="1" i="0" baseline="0">
                <a:solidFill>
                  <a:schemeClr val="bg1">
                    <a:lumMod val="50000"/>
                  </a:schemeClr>
                </a:solidFill>
              </a:rPr>
              <a:t> [MOp/s]</a:t>
            </a:r>
            <a:endParaRPr lang="en-US" sz="2000" b="1" i="0">
              <a:solidFill>
                <a:schemeClr val="bg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8.9572203367598523E-4"/>
          <c:y val="1.75924625404749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870989057705819E-2"/>
          <c:y val="0.17883056461483854"/>
          <c:w val="0.91599051328971204"/>
          <c:h val="0.74859272063399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Data!$K$3</c:f>
              <c:strCache>
                <c:ptCount val="1"/>
                <c:pt idx="0">
                  <c:v>ECE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Data!$A$4:$A$7</c:f>
              <c:strCache>
                <c:ptCount val="4"/>
                <c:pt idx="0">
                  <c:v>IMUL16</c:v>
                </c:pt>
                <c:pt idx="1">
                  <c:v>IMUL32</c:v>
                </c:pt>
                <c:pt idx="2">
                  <c:v>IMUL64</c:v>
                </c:pt>
                <c:pt idx="3">
                  <c:v>IMUL128</c:v>
                </c:pt>
              </c:strCache>
            </c:strRef>
          </c:cat>
          <c:val>
            <c:numRef>
              <c:f>Data!$K$4:$K$7</c:f>
              <c:numCache>
                <c:formatCode>General</c:formatCode>
                <c:ptCount val="4"/>
                <c:pt idx="0">
                  <c:v>1.3108468480277899</c:v>
                </c:pt>
                <c:pt idx="1">
                  <c:v>2.0196716013976128</c:v>
                </c:pt>
                <c:pt idx="2">
                  <c:v>1.476923076923077</c:v>
                </c:pt>
                <c:pt idx="3">
                  <c:v>1.9063829787234041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A-496C-A1D5-FEC60375B2CF}"/>
            </c:ext>
          </c:extLst>
        </c:ser>
        <c:ser>
          <c:idx val="1"/>
          <c:order val="1"/>
          <c:tx>
            <c:strRef>
              <c:f>Data!$L$3</c:f>
              <c:strCache>
                <c:ptCount val="1"/>
                <c:pt idx="0">
                  <c:v>EC2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Data!$A$4:$A$7</c:f>
              <c:strCache>
                <c:ptCount val="4"/>
                <c:pt idx="0">
                  <c:v>IMUL16</c:v>
                </c:pt>
                <c:pt idx="1">
                  <c:v>IMUL32</c:v>
                </c:pt>
                <c:pt idx="2">
                  <c:v>IMUL64</c:v>
                </c:pt>
                <c:pt idx="3">
                  <c:v>IMUL128</c:v>
                </c:pt>
              </c:strCache>
            </c:strRef>
          </c:cat>
          <c:val>
            <c:numRef>
              <c:f>Data!$L$4:$L$7</c:f>
              <c:numCache>
                <c:formatCode>General</c:formatCode>
                <c:ptCount val="4"/>
                <c:pt idx="0">
                  <c:v>0.74964626067074602</c:v>
                </c:pt>
                <c:pt idx="1">
                  <c:v>1.1160729855928928</c:v>
                </c:pt>
                <c:pt idx="2">
                  <c:v>1.3895945423674347</c:v>
                </c:pt>
                <c:pt idx="3">
                  <c:v>1.5278083282605321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A-496C-A1D5-FEC60375B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584368"/>
        <c:axId val="501591256"/>
      </c:barChart>
      <c:catAx>
        <c:axId val="50158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91256"/>
        <c:crosses val="autoZero"/>
        <c:auto val="1"/>
        <c:lblAlgn val="ctr"/>
        <c:lblOffset val="100"/>
        <c:tickLblSkip val="1"/>
        <c:noMultiLvlLbl val="0"/>
      </c:catAx>
      <c:valAx>
        <c:axId val="50159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8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423042082908545"/>
          <c:y val="0.12397511020122481"/>
          <c:w val="0.20325825611618933"/>
          <c:h val="0.2029080703181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30" workbookViewId="0"/>
  </sheetViews>
  <pageMargins left="0.25" right="0.25" top="0.25" bottom="0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56615" cy="72096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6" max="6" width="12.5" bestFit="1" customWidth="1"/>
    <col min="8" max="9" width="11.5" bestFit="1" customWidth="1"/>
    <col min="13" max="14" width="11.83203125" bestFit="1" customWidth="1"/>
  </cols>
  <sheetData>
    <row r="1" spans="1:14" x14ac:dyDescent="0.2">
      <c r="A1" t="s">
        <v>2</v>
      </c>
    </row>
    <row r="2" spans="1:14" ht="19" x14ac:dyDescent="0.25">
      <c r="F2" s="4" t="s">
        <v>8</v>
      </c>
      <c r="G2" s="4"/>
      <c r="H2" s="4"/>
      <c r="I2" s="4"/>
      <c r="K2" s="4" t="s">
        <v>7</v>
      </c>
      <c r="L2" s="4"/>
      <c r="M2" s="4"/>
      <c r="N2" s="4"/>
    </row>
    <row r="3" spans="1:14" s="3" customFormat="1" ht="16" x14ac:dyDescent="0.2">
      <c r="B3" s="3" t="s">
        <v>4</v>
      </c>
      <c r="C3" s="3" t="s">
        <v>3</v>
      </c>
      <c r="D3" s="3" t="s">
        <v>1</v>
      </c>
      <c r="E3" s="3" t="s">
        <v>0</v>
      </c>
      <c r="F3" s="3" t="s">
        <v>9</v>
      </c>
      <c r="G3" s="3" t="s">
        <v>10</v>
      </c>
      <c r="K3" s="3" t="str">
        <f>F3</f>
        <v>ECE</v>
      </c>
      <c r="L3" s="3" t="str">
        <f>G3</f>
        <v>EC2</v>
      </c>
    </row>
    <row r="4" spans="1:14" x14ac:dyDescent="0.2">
      <c r="A4" s="2" t="str">
        <f>$A$1&amp;D4</f>
        <v>IMUL16</v>
      </c>
      <c r="B4">
        <f>D4*D4</f>
        <v>256</v>
      </c>
      <c r="C4">
        <f>5*D4*E4</f>
        <v>320</v>
      </c>
      <c r="D4">
        <f>2^E4</f>
        <v>16</v>
      </c>
      <c r="E4">
        <v>4</v>
      </c>
      <c r="F4">
        <v>0.244117</v>
      </c>
      <c r="G4">
        <v>0.42686800000000003</v>
      </c>
      <c r="K4">
        <f>$C4/(F4/1000)/1000000</f>
        <v>1.3108468480277899</v>
      </c>
      <c r="L4">
        <f>$C4/(G4/1000)/1000000</f>
        <v>0.74964626067074602</v>
      </c>
    </row>
    <row r="5" spans="1:14" x14ac:dyDescent="0.2">
      <c r="A5" s="2" t="str">
        <f t="shared" ref="A5:A7" si="0">$A$1&amp;D5</f>
        <v>IMUL32</v>
      </c>
      <c r="B5">
        <f t="shared" ref="B5:B7" si="1">D5*D5</f>
        <v>1024</v>
      </c>
      <c r="C5">
        <f t="shared" ref="C5:C7" si="2">5*D5*E5</f>
        <v>800</v>
      </c>
      <c r="D5">
        <f t="shared" ref="D5:D7" si="3">2^E5</f>
        <v>32</v>
      </c>
      <c r="E5">
        <v>5</v>
      </c>
      <c r="F5">
        <v>0.39610400000000001</v>
      </c>
      <c r="G5">
        <v>0.71679899999999996</v>
      </c>
      <c r="K5">
        <f t="shared" ref="K5:K7" si="4">$C5/(F5/1000)/1000000</f>
        <v>2.0196716013976128</v>
      </c>
      <c r="L5">
        <f>$C5/(G5/1000)/1000000</f>
        <v>1.1160729855928928</v>
      </c>
    </row>
    <row r="6" spans="1:14" x14ac:dyDescent="0.2">
      <c r="A6" s="2" t="str">
        <f t="shared" si="0"/>
        <v>IMUL64</v>
      </c>
      <c r="B6">
        <f t="shared" si="1"/>
        <v>4096</v>
      </c>
      <c r="C6">
        <f t="shared" si="2"/>
        <v>1920</v>
      </c>
      <c r="D6">
        <f t="shared" si="3"/>
        <v>64</v>
      </c>
      <c r="E6">
        <v>6</v>
      </c>
      <c r="F6">
        <v>1.3</v>
      </c>
      <c r="G6">
        <v>1.3816980000000001</v>
      </c>
      <c r="K6">
        <f t="shared" si="4"/>
        <v>1.476923076923077</v>
      </c>
      <c r="L6">
        <f>$C6/(G6/1000)/1000000</f>
        <v>1.3895945423674347</v>
      </c>
    </row>
    <row r="7" spans="1:14" x14ac:dyDescent="0.2">
      <c r="A7" s="2" t="str">
        <f t="shared" si="0"/>
        <v>IMUL128</v>
      </c>
      <c r="B7">
        <f t="shared" si="1"/>
        <v>16384</v>
      </c>
      <c r="C7">
        <f t="shared" si="2"/>
        <v>4480</v>
      </c>
      <c r="D7">
        <f t="shared" si="3"/>
        <v>128</v>
      </c>
      <c r="E7">
        <v>7</v>
      </c>
      <c r="F7">
        <v>2.35</v>
      </c>
      <c r="G7">
        <v>2.9323049999999999</v>
      </c>
      <c r="K7">
        <f t="shared" si="4"/>
        <v>1.9063829787234041</v>
      </c>
      <c r="L7">
        <f>$C7/(G7/1000)/1000000</f>
        <v>1.5278083282605321</v>
      </c>
    </row>
    <row r="8" spans="1:14" x14ac:dyDescent="0.2">
      <c r="A8" s="1" t="s">
        <v>5</v>
      </c>
      <c r="K8" s="1" t="s">
        <v>6</v>
      </c>
    </row>
  </sheetData>
  <mergeCells count="2">
    <mergeCell ref="F2:I2"/>
    <mergeCell ref="K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2026-09-01T15:38:08Z</dcterms:modified>
</cp:coreProperties>
</file>